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e74133efc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ping" sheetId="1" r:id="R6f9594dd227a46a2"/>
    <x:sheet xmlns:r="http://schemas.openxmlformats.org/officeDocument/2006/relationships" name="Options" sheetId="2" r:id="R8b7eb7b9503d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$0.00"/>
    <x:numFmt numFmtId="201" formatCode="0.00%"/>
  </x:numFmts>
  <x:fonts count="9">
    <x:font>
      <x:sz val="11"/>
      <x:name val="Carlito"/>
    </x:font>
    <x:font>
      <x:sz val="10"/>
      <x:color rgb="FF202B33"/>
      <x:name val="Arial"/>
    </x:font>
    <x:font>
      <x:b/>
      <x:sz val="16"/>
      <x:color rgb="FF293C47"/>
      <x:name val="Arial"/>
    </x:font>
    <x:font>
      <x:i/>
      <x:sz val="10"/>
      <x:color rgb="FF637381"/>
      <x:name val="Arial"/>
    </x:font>
    <x:font>
      <x:b/>
      <x:sz val="12"/>
      <x:color rgb="FF293C47"/>
      <x:name val="Arial"/>
    </x:font>
    <x:font>
      <x:sz val="10"/>
      <x:color rgb="FF1566A7"/>
      <x:name val="Arial"/>
    </x:font>
    <x:font>
      <x:b/>
      <x:sz val="10"/>
      <x:color rgb="FFFFFFFF"/>
      <x:name val="Arial"/>
    </x:font>
    <x:font>
      <x:sz val="9"/>
      <x:color rgb="FF637381"/>
      <x:name val="Arial"/>
    </x:font>
    <x:font>
      <x:sz val="10"/>
      <x:color rgb="FF63738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CA"/>
      </x:patternFill>
    </x:fill>
    <x:fill>
      <x:patternFill patternType="solid">
        <x:fgColor rgb="FF293C47"/>
      </x:patternFill>
    </x:fill>
    <x:fill>
      <x:patternFill patternType="solid">
        <x:fgColor rgb="FFF3F6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84945"/>
      </x:bottom>
      <x:diagonal/>
    </x:border>
    <x:border>
      <x:left/>
      <x:right/>
      <x:top style="thin">
        <x:color rgb="FF293C47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2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4" fillId="0" borderId="2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vertical="center" wrapText="0"/>
    </x:xf>
    <x:xf numFmtId="201" fontId="1" fillId="2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color rgb="FF805B15"/>
      </x:font>
      <x:fill>
        <x:patternFill>
          <x:bgColor rgb="FFFFF0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7701729794b16" /><Relationship Type="http://schemas.openxmlformats.org/officeDocument/2006/relationships/theme" Target="/xl/theme/theme1.xml" Id="R2f9264c095864c3f" /><Relationship Type="http://schemas.openxmlformats.org/officeDocument/2006/relationships/sharedStrings" Target="/xl/sharedStrings.xml" Id="R099c73d2ea14487a" /><Relationship Type="http://schemas.openxmlformats.org/officeDocument/2006/relationships/worksheet" Target="/xl/worksheets/sheet1.xml" Id="R6f9594dd227a46a2" /><Relationship Type="http://schemas.openxmlformats.org/officeDocument/2006/relationships/worksheet" Target="/xl/worksheets/sheet2.xml" Id="R8b7eb7b9503d4f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3C47"/>
  </x:sheetPr>
  <x:sheetViews>
    <x:sheetView showGridLines="0" workbookViewId="0">
      <x:pane xSplit="2" ySplit="19" topLeftCell="C20" activePane="bottomRight" state="frozen"/>
    </x:sheetView>
  </x:sheetViews>
  <x:sheetFormatPr defaultRowHeight="15"/>
  <x:cols>
    <x:col min="1" max="1" width="13.329999923706055" hidden="0" customWidth="1"/>
    <x:col min="2" max="2" width="37.779998779296875" hidden="0" customWidth="1"/>
    <x:col min="3" max="3" width="7.110000133514404" hidden="0" customWidth="1"/>
    <x:col min="4" max="4" width="15.5600004196167" hidden="0" customWidth="1"/>
    <x:col min="5" max="5" width="11.109999656677246" hidden="0" customWidth="1"/>
    <x:col min="6" max="6" width="12.779999732971191" hidden="0" customWidth="1"/>
    <x:col min="7" max="7" width="12.4399995803833" hidden="0" customWidth="1"/>
    <x:col min="8" max="8" width="18.889999389648438" hidden="0" customWidth="1"/>
    <x:col min="9" max="9" width="2.6700000762939453" hidden="0" customWidth="1"/>
    <x:col min="10" max="10" width="105.55999755859375" hidden="0" customWidth="1"/>
    <x:col min="11" max="11" width="65.55999755859375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4" t="str">
        <x:v>Rock Saw Water Control · Shopping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</x:row>
    <x:row r="4" ht="26" customHeight="1">
      <x:c r="A4" s="6" t="str">
        <x:v>Revision D, 7 October 2026. Prices reviewed 4 October. USD planning budget.</x:v>
      </x:c>
      <x:c r="B4" s="6"/>
      <x:c r="C4" s="6"/>
      <x:c r="D4" s="6"/>
      <x:c r="E4" s="6"/>
      <x:c r="F4" s="6"/>
      <x:c r="G4" s="6"/>
      <x:c r="H4" s="6"/>
      <x:c r="I4" s="3"/>
      <x:c r="J4" s="3"/>
      <x:c r="K4" s="3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0" customHeight="1">
      <x:c r="A6" s="3" t="str">
        <x:v>Merchandise</x:v>
      </x:c>
      <x:c r="B6" s="9" t="n">
        <x:f>SUM(G20:G52)</x:f>
        <x:v>609.6600000000001</x:v>
      </x:c>
      <x:c r="C6" s="3"/>
      <x:c r="D6" s="18" t="str">
        <x:v>Category</x:v>
      </x:c>
      <x:c r="E6" s="18" t="str">
        <x:v>Amount</x:v>
      </x:c>
      <x:c r="F6" s="3"/>
      <x:c r="G6" s="3"/>
      <x:c r="H6" s="3"/>
      <x:c r="I6" s="3"/>
      <x:c r="J6" s="3" t="str">
        <x:v>Main total includes estimates; optional power supplies and tools are on Options and are excluded.</x:v>
      </x:c>
      <x:c r="K6" s="3"/>
    </x:row>
    <x:row r="7" ht="26" customHeight="1">
      <x:c r="A7" s="3" t="str">
        <x:v>Shipping</x:v>
      </x:c>
      <x:c r="B7" s="9" t="n">
        <x:f>SUM(E57:E62)</x:f>
        <x:v>46</x:v>
      </x:c>
      <x:c r="C7" s="3"/>
      <x:c r="D7" s="3" t="str">
        <x:v>Control</x:v>
      </x:c>
      <x:c r="E7" s="9" t="n">
        <x:f>SUMIFS($G$20:$G$52,$A$20:$A$52,D7)</x:f>
        <x:v>49.72</x:v>
      </x:c>
      <x:c r="F7" s="3"/>
      <x:c r="G7" s="3"/>
      <x:c r="H7" s="3"/>
      <x:c r="I7" s="3"/>
      <x:c r="J7" s="3"/>
      <x:c r="K7" s="3"/>
    </x:row>
    <x:row r="8" ht="26" customHeight="1">
      <x:c r="A8" s="3" t="str">
        <x:v>Fee reserve</x:v>
      </x:c>
      <x:c r="B8" s="12" t="n">
        <x:v>20</x:v>
      </x:c>
      <x:c r="C8" s="3"/>
      <x:c r="D8" s="3" t="str">
        <x:v>Water</x:v>
      </x:c>
      <x:c r="E8" s="9" t="n">
        <x:f>SUMIFS($G$20:$G$52,$A$20:$A$52,D8)</x:f>
        <x:v>227.95</x:v>
      </x:c>
      <x:c r="F8" s="3"/>
      <x:c r="G8" s="3"/>
      <x:c r="H8" s="3"/>
      <x:c r="I8" s="3"/>
      <x:c r="J8" s="3" t="str">
        <x:v>$20 fee reserve is not a tariff quote or a maximum. Replace with actual charges.</x:v>
      </x:c>
      <x:c r="K8" s="3"/>
    </x:row>
    <x:row r="9" ht="26" customHeight="1">
      <x:c r="A9" s="3" t="str">
        <x:v>Discount</x:v>
      </x:c>
      <x:c r="B9" s="12" t="n">
        <x:v>0</x:v>
      </x:c>
      <x:c r="C9" s="3"/>
      <x:c r="D9" s="3" t="str">
        <x:v>Display</x:v>
      </x:c>
      <x:c r="E9" s="9" t="n">
        <x:f>SUMIFS($G$20:$G$52,$A$20:$A$52,D9)</x:f>
        <x:v>115.99</x:v>
      </x:c>
      <x:c r="F9" s="3"/>
      <x:c r="G9" s="3"/>
      <x:c r="H9" s="3"/>
      <x:c r="I9" s="3"/>
      <x:c r="J9" s="3" t="str">
        <x:v>Discount is zero: no verified coupon for the selected installed-system basket.</x:v>
      </x:c>
      <x:c r="K9" s="3"/>
    </x:row>
    <x:row r="10" ht="58" customHeight="1">
      <x:c r="A10" s="3" t="str">
        <x:v>Tax rate</x:v>
      </x:c>
      <x:c r="B10" s="13" t="n">
        <x:v>0.0825</x:v>
      </x:c>
      <x:c r="C10" s="3"/>
      <x:c r="D10" s="3" t="str">
        <x:v>Assembly</x:v>
      </x:c>
      <x:c r="E10" s="9" t="n">
        <x:f>SUMIFS($G$20:$G$52,$A$20:$A$52,D10)</x:f>
        <x:v>85</x:v>
      </x:c>
      <x:c r="F10" s="3"/>
      <x:c r="G10" s="3"/>
      <x:c r="H10" s="3"/>
      <x:c r="I10" s="3"/>
      <x:c r="J10" s="3" t="str">
        <x:v>8.25% Helotes-area planning rate; ZIP alone does not determine the exact delivery tax jurisdiction.</x:v>
      </x:c>
      <x:c r="K10" s="15" t="str">
        <x:v>https://comptroller.texas.gov/taxes/sales/docs/city-rates.pdf</x:v>
      </x:c>
    </x:row>
    <x:row r="11" ht="58" customHeight="1">
      <x:c r="A11" s="3" t="str">
        <x:v>Tax estimate</x:v>
      </x:c>
      <x:c r="B11" s="9" t="n">
        <x:f>ROUND((SUM(B6:B8)-B9)*B10,2)</x:f>
        <x:v>55.74</x:v>
      </x:c>
      <x:c r="C11" s="3"/>
      <x:c r="D11" s="3" t="str">
        <x:v>Enclosure</x:v>
      </x:c>
      <x:c r="E11" s="9" t="n">
        <x:f>SUMIFS($G$20:$G$52,$A$20:$A$52,D11)</x:f>
        <x:v>114</x:v>
      </x:c>
      <x:c r="F11" s="3"/>
      <x:c r="G11" s="3"/>
      <x:c r="H11" s="3"/>
      <x:c r="I11" s="3"/>
      <x:c r="J11" s="3" t="str">
        <x:v>Budget assumes shipping and fees taxable. Final checkout may differ.</x:v>
      </x:c>
      <x:c r="K11" s="15" t="str">
        <x:v>https://comptroller.texas.gov/taxes/sales/faq/collection.php</x:v>
      </x:c>
    </x:row>
    <x:row r="12" ht="26" customHeight="1">
      <x:c r="A12" s="8" t="str">
        <x:v>Planning total</x:v>
      </x:c>
      <x:c r="B12" s="10" t="n">
        <x:f>SUM(B6:B8)-B9+B11</x:f>
        <x:v>731.4000000000001</x:v>
      </x:c>
      <x:c r="C12" s="3"/>
      <x:c r="D12" s="3" t="str">
        <x:v>Bench</x:v>
      </x:c>
      <x:c r="E12" s="9" t="n">
        <x:f>SUMIFS($G$20:$G$52,$A$20:$A$52,D12)</x:f>
        <x:v>17</x:v>
      </x:c>
      <x:c r="F12" s="3"/>
      <x:c r="G12" s="3"/>
      <x:c r="H12" s="3"/>
      <x:c r="I12" s="3"/>
      <x:c r="J12" s="3" t="str">
        <x:v>Driver availability, meter adapters, physical fit and hardware qualification remain unresolved.</x:v>
      </x:c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19" t="str">
        <x:v>List prices</x:v>
      </x:c>
      <x:c r="B14" s="9" t="n">
        <x:f>SUMIFS(G20:G52,F20:F52,"Published")</x:f>
        <x:v>270.6700000000001</x:v>
      </x:c>
      <x:c r="C14" s="3"/>
      <x:c r="D14" s="3"/>
      <x:c r="E14" s="3"/>
      <x:c r="F14" s="3"/>
      <x:c r="G14" s="3"/>
      <x:c r="H14" s="3"/>
      <x:c r="I14" s="3"/>
      <x:c r="J14" s="3" t="str">
        <x:v>Published prices are observed list prices, not stock guarantees or destination checkout totals.</x:v>
      </x:c>
      <x:c r="K14" s="3"/>
    </x:row>
    <x:row r="15" ht="26" customHeight="1">
      <x:c r="A15" s="19" t="str">
        <x:v>Allowances</x:v>
      </x:c>
      <x:c r="B15" s="9" t="n">
        <x:f>SUMIFS(G20:G52,F20:F52,"Allowance")</x:f>
        <x:v>338.99</x:v>
      </x:c>
      <x:c r="C15" s="3"/>
      <x:c r="D15" s="3"/>
      <x:c r="E15" s="3"/>
      <x:c r="F15" s="3"/>
      <x:c r="G15" s="3"/>
      <x:c r="H15" s="3"/>
      <x:c r="I15" s="3"/>
      <x:c r="J15" s="3" t="str">
        <x:v>Allowance means an editable estimate; $30 per driver is not a verified offer.</x:v>
      </x:c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20" t="str">
        <x:v>Amber cells are editable. Set quantity to 0 for suitable parts already owned. Searches are not approved exact products.</x:v>
      </x:c>
      <x:c r="B17" s="20"/>
      <x:c r="C17" s="20"/>
      <x:c r="D17" s="20"/>
      <x:c r="E17" s="20"/>
      <x:c r="F17" s="20"/>
      <x:c r="G17" s="20"/>
      <x:c r="H17" s="20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30" customHeight="1">
      <x:c r="A19" s="18" t="str">
        <x:v>Type</x:v>
      </x:c>
      <x:c r="B19" s="18" t="str">
        <x:v>Item</x:v>
      </x:c>
      <x:c r="C19" s="18" t="str">
        <x:v>Qty</x:v>
      </x:c>
      <x:c r="D19" s="18" t="str">
        <x:v>Buy unit</x:v>
      </x:c>
      <x:c r="E19" s="18" t="str">
        <x:v>Unit USD</x:v>
      </x:c>
      <x:c r="F19" s="18" t="str">
        <x:v>Price basis</x:v>
      </x:c>
      <x:c r="G19" s="18" t="str">
        <x:v>Line USD</x:v>
      </x:c>
      <x:c r="H19" s="18" t="str">
        <x:v>Vendor</x:v>
      </x:c>
      <x:c r="I19" s="3"/>
      <x:c r="J19" s="3" t="str">
        <x:v>Selection / availability notes</x:v>
      </x:c>
      <x:c r="K19" s="3" t="str">
        <x:v>Source</x:v>
      </x:c>
    </x:row>
    <x:row r="20" ht="58" customHeight="1">
      <x:c r="A20" s="3" t="str">
        <x:v>Control</x:v>
      </x:c>
      <x:c r="B20" s="3" t="str">
        <x:v>Arduino Nano Every ABX00028</x:v>
      </x:c>
      <x:c r="C20" s="21" t="n">
        <x:v>1</x:v>
      </x:c>
      <x:c r="D20" s="3" t="str">
        <x:v>board</x:v>
      </x:c>
      <x:c r="E20" s="12" t="n">
        <x:v>13.7</x:v>
      </x:c>
      <x:c r="F20" s="3" t="str">
        <x:v>Published</x:v>
      </x:c>
      <x:c r="G20" s="9" t="n">
        <x:f>C20*E20</x:f>
        <x:v>13.7</x:v>
      </x:c>
      <x:c r="H20" s="3" t="str">
        <x:v>SparkFun</x:v>
      </x:c>
      <x:c r="I20" s="3"/>
      <x:c r="J20" s="3" t="str">
        <x:v>Combine with opto boards; Arduino direct is $12.90 before separate shipping. Headers required.</x:v>
      </x:c>
      <x:c r="K20" s="15" t="str">
        <x:v>https://www.sparkfun.com/arduino-nano-every.html</x:v>
      </x:c>
    </x:row>
    <x:row r="21" ht="58" customHeight="1">
      <x:c r="A21" s="22" t="str">
        <x:v>Water</x:v>
      </x:c>
      <x:c r="B21" s="22" t="str">
        <x:v>U.S. Solid USS-MSV50030 / JFMSV50030</x:v>
      </x:c>
      <x:c r="C21" s="21" t="n">
        <x:v>1</x:v>
      </x:c>
      <x:c r="D21" s="22" t="str">
        <x:v>valve</x:v>
      </x:c>
      <x:c r="E21" s="12" t="n">
        <x:v>105.29</x:v>
      </x:c>
      <x:c r="F21" s="22" t="str">
        <x:v>Published</x:v>
      </x:c>
      <x:c r="G21" s="23" t="n">
        <x:f>C21*E21</x:f>
        <x:v>105.29</x:v>
      </x:c>
      <x:c r="H21" s="22" t="str">
        <x:v>U.S. Solid</x:v>
      </x:c>
      <x:c r="I21" s="3"/>
      <x:c r="J21" s="3" t="str">
        <x:v>1/2-inch stainless; 9–24 V; five-wire 4–20 mA command and feedback. H4 qualification pending.</x:v>
      </x:c>
      <x:c r="K21" s="15" t="str">
        <x:v>https://ussolid.com/products/1-2-proportional-motorized-ball-valve-stainless-steel-dc-9-24v-4-20ma-control-5-wire-ip67-full-port</x:v>
      </x:c>
    </x:row>
    <x:row r="22" ht="58" customHeight="1">
      <x:c r="A22" s="3" t="str">
        <x:v>Control</x:v>
      </x:c>
      <x:c r="B22" s="3" t="str">
        <x:v>DFRobot DFR1229 current command</x:v>
      </x:c>
      <x:c r="C22" s="21" t="n">
        <x:v>1</x:v>
      </x:c>
      <x:c r="D22" s="3" t="str">
        <x:v>board</x:v>
      </x:c>
      <x:c r="E22" s="12" t="n">
        <x:v>15.9</x:v>
      </x:c>
      <x:c r="F22" s="3" t="str">
        <x:v>Published</x:v>
      </x:c>
      <x:c r="G22" s="9" t="n">
        <x:f>C22*E22</x:f>
        <x:v>15.9</x:v>
      </x:c>
      <x:c r="H22" s="3" t="str">
        <x:v>DFRobot</x:v>
      </x:c>
      <x:c r="I22" s="3"/>
      <x:c r="J22" s="3" t="str">
        <x:v>3.3–5 V supply; keep exact SKU. Direct shipping resumes Oct 8.</x:v>
      </x:c>
      <x:c r="K22" s="15" t="str">
        <x:v>https://www.dfrobot.com/product-3073.html</x:v>
      </x:c>
    </x:row>
    <x:row r="23" ht="58" customHeight="1">
      <x:c r="A23" s="22" t="str">
        <x:v>Control</x:v>
      </x:c>
      <x:c r="B23" s="22" t="str">
        <x:v>DFRobot SEN0262 feedback receiver</x:v>
      </x:c>
      <x:c r="C23" s="21" t="n">
        <x:v>1</x:v>
      </x:c>
      <x:c r="D23" s="22" t="str">
        <x:v>board</x:v>
      </x:c>
      <x:c r="E23" s="12" t="n">
        <x:v>4.9</x:v>
      </x:c>
      <x:c r="F23" s="22" t="str">
        <x:v>Published</x:v>
      </x:c>
      <x:c r="G23" s="23" t="n">
        <x:f>C23*E23</x:f>
        <x:v>4.9</x:v>
      </x:c>
      <x:c r="H23" s="22" t="str">
        <x:v>DFRobot</x:v>
      </x:c>
      <x:c r="I23" s="3"/>
      <x:c r="J23" s="3" t="str">
        <x:v>120-ohm receiver; analog output. Do not add a 250-ohm shunt in parallel.</x:v>
      </x:c>
      <x:c r="K23" s="15" t="str">
        <x:v>https://www.dfrobot.com/product-1755.html</x:v>
      </x:c>
    </x:row>
    <x:row r="24" ht="58" customHeight="1">
      <x:c r="A24" s="3" t="str">
        <x:v>Control</x:v>
      </x:c>
      <x:c r="B24" s="3" t="str">
        <x:v>SparkFun BOB-09118 v1.2 input boards</x:v>
      </x:c>
      <x:c r="C24" s="21" t="n">
        <x:v>2</x:v>
      </x:c>
      <x:c r="D24" s="3" t="str">
        <x:v>board</x:v>
      </x:c>
      <x:c r="E24" s="12" t="n">
        <x:v>5.95</x:v>
      </x:c>
      <x:c r="F24" s="3" t="str">
        <x:v>Published</x:v>
      </x:c>
      <x:c r="G24" s="9" t="n">
        <x:f>C24*E24</x:f>
        <x:v>11.9</x:v>
      </x:c>
      <x:c r="H24" s="3" t="str">
        <x:v>SparkFun</x:v>
      </x:c>
      <x:c r="I24" s="3"/>
      <x:c r="J24" s="3" t="str">
        <x:v>Three channels used; external input resistors/diodes still required.</x:v>
      </x:c>
      <x:c r="K24" s="15" t="str">
        <x:v>https://www.sparkfun.com/sparkfun-opto-isolator-breakout.html</x:v>
      </x:c>
    </x:row>
    <x:row r="25" ht="58" customHeight="1">
      <x:c r="A25" s="22" t="str">
        <x:v>Display</x:v>
      </x:c>
      <x:c r="B25" s="22" t="str">
        <x:v>Serial Wombat PCB0046 HSD V2</x:v>
      </x:c>
      <x:c r="C25" s="21" t="n">
        <x:v>3</x:v>
      </x:c>
      <x:c r="D25" s="22" t="str">
        <x:v>board</x:v>
      </x:c>
      <x:c r="E25" s="12" t="n">
        <x:v>30</x:v>
      </x:c>
      <x:c r="F25" s="22" t="str">
        <x:v>Allowance</x:v>
      </x:c>
      <x:c r="G25" s="23" t="n">
        <x:f>C25*E25</x:f>
        <x:v>90</x:v>
      </x:c>
      <x:c r="H25" s="22" t="str">
        <x:v>Serial Wombat</x:v>
      </x:c>
      <x:c r="I25" s="3"/>
      <x:c r="J25" s="3" t="str">
        <x:v>PRICE/STOCK UNVERIFIED. $30 each is a budgeting placeholder, not a quotation. Procurement hold.</x:v>
      </x:c>
      <x:c r="K25" s="15" t="str">
        <x:v>https://www.serialwombat.com/p46</x:v>
      </x:c>
    </x:row>
    <x:row r="26" ht="58" customHeight="1">
      <x:c r="A26" s="3" t="str">
        <x:v>Display</x:v>
      </x:c>
      <x:c r="B26" s="3" t="str">
        <x:v>Nilight TL-248BW blue/white lamps</x:v>
      </x:c>
      <x:c r="C26" s="21" t="n">
        <x:v>1</x:v>
      </x:c>
      <x:c r="D26" s="3" t="str">
        <x:v>10-pack</x:v>
      </x:c>
      <x:c r="E26" s="12" t="n">
        <x:v>25.99</x:v>
      </x:c>
      <x:c r="F26" s="3" t="str">
        <x:v>Allowance</x:v>
      </x:c>
      <x:c r="G26" s="9" t="n">
        <x:f>C26*E26</x:f>
        <x:v>25.99</x:v>
      </x:c>
      <x:c r="H26" s="3" t="str">
        <x:v>Amazon / Nilight</x:v>
      </x:c>
      <x:c r="I26" s="3"/>
      <x:c r="J26" s="3" t="str">
        <x:v>Historical/reference price only; Amazon checkout unavailable. Confirm common negative and both color leads.</x:v>
      </x:c>
      <x:c r="K26" s="15" t="str">
        <x:v>https://www.amazon.com/Nilight-Clearance-Indicator-Trailer-Warranty/dp/B0F7XP3QZB</x:v>
      </x:c>
    </x:row>
    <x:row r="27" ht="58" customHeight="1">
      <x:c r="A27" s="22" t="str">
        <x:v>Water</x:v>
      </x:c>
      <x:c r="B27" s="22" t="str">
        <x:v>ScioSense UFM-02-03NP4</x:v>
      </x:c>
      <x:c r="C27" s="21" t="n">
        <x:v>1</x:v>
      </x:c>
      <x:c r="D27" s="22" t="str">
        <x:v>meter</x:v>
      </x:c>
      <x:c r="E27" s="12" t="n">
        <x:v>59.66</x:v>
      </x:c>
      <x:c r="F27" s="22" t="str">
        <x:v>Published</x:v>
      </x:c>
      <x:c r="G27" s="23" t="n">
        <x:f>C27*E27</x:f>
        <x:v>59.66</x:v>
      </x:c>
      <x:c r="H27" s="22" t="str">
        <x:v>DigiKey</x:v>
      </x:c>
      <x:c r="I27" s="3"/>
      <x:c r="J27" s="3" t="str">
        <x:v>3/8-inch NPS, pulse, four wires. Possible tariff is additional; fittings and weather protection unresolved.</x:v>
      </x:c>
      <x:c r="K27" s="15" t="str">
        <x:v>https://www.digikey.com/en/products/detail/sciosense/UFM-02-03NP4-3-8-NPS-PULSE-4-WIRE/29771278</x:v>
      </x:c>
    </x:row>
    <x:row r="28" ht="58" customHeight="1">
      <x:c r="A28" s="3" t="str">
        <x:v>Control</x:v>
      </x:c>
      <x:c r="B28" s="3" t="str">
        <x:v>Panasonic TQ2-5V nonlatching DPDT</x:v>
      </x:c>
      <x:c r="C28" s="21" t="n">
        <x:v>1</x:v>
      </x:c>
      <x:c r="D28" s="3" t="str">
        <x:v>relay</x:v>
      </x:c>
      <x:c r="E28" s="12" t="n">
        <x:v>2.36</x:v>
      </x:c>
      <x:c r="F28" s="3" t="str">
        <x:v>Published</x:v>
      </x:c>
      <x:c r="G28" s="9" t="n">
        <x:f>C28*E28</x:f>
        <x:v>2.36</x:v>
      </x:c>
      <x:c r="H28" s="3" t="str">
        <x:v>DigiKey / Mouser</x:v>
      </x:c>
      <x:c r="I28" s="3"/>
      <x:c r="J28" s="3" t="str">
        <x:v>DigiKey backorder; check Mouser. No TQ2-L latching substitution. Footprint/pins matter.</x:v>
      </x:c>
      <x:c r="K28" s="15" t="str">
        <x:v>https://www.digikey.com/en/products/detail/panasonic-industry/TQ2-5V/251773</x:v>
      </x:c>
    </x:row>
    <x:row r="29" ht="58" customHeight="1">
      <x:c r="A29" s="22" t="str">
        <x:v>Control</x:v>
      </x:c>
      <x:c r="B29" s="22" t="str">
        <x:v>ST L7805ABV TO-220</x:v>
      </x:c>
      <x:c r="C29" s="21" t="n">
        <x:v>1</x:v>
      </x:c>
      <x:c r="D29" s="22" t="str">
        <x:v>regulator</x:v>
      </x:c>
      <x:c r="E29" s="12" t="n">
        <x:v>0.96</x:v>
      </x:c>
      <x:c r="F29" s="22" t="str">
        <x:v>Published</x:v>
      </x:c>
      <x:c r="G29" s="23" t="n">
        <x:f>C29*E29</x:f>
        <x:v>0.96</x:v>
      </x:c>
      <x:c r="H29" s="22" t="str">
        <x:v>DigiKey</x:v>
      </x:c>
      <x:c r="I29" s="3"/>
      <x:c r="J29" s="3" t="str">
        <x:v>Dedicated relay-coil supply only; retain specified capacitors.</x:v>
      </x:c>
      <x:c r="K29" s="15" t="str">
        <x:v>https://www.digikey.com/en/products/detail/stmicroelectronics/L7805ABV/634711</x:v>
      </x:c>
    </x:row>
    <x:row r="30" ht="58" customHeight="1">
      <x:c r="A30" s="22" t="str">
        <x:v>Assembly</x:v>
      </x:c>
      <x:c r="B30" s="22" t="str">
        <x:v>Exact resistors, diodes and capacitors</x:v>
      </x:c>
      <x:c r="C30" s="21" t="n">
        <x:v>1</x:v>
      </x:c>
      <x:c r="D30" s="22" t="str">
        <x:v>small lot</x:v>
      </x:c>
      <x:c r="E30" s="12" t="n">
        <x:v>10</x:v>
      </x:c>
      <x:c r="F30" s="22" t="str">
        <x:v>Allowance</x:v>
      </x:c>
      <x:c r="G30" s="23" t="n">
        <x:f>C30*E30</x:f>
        <x:v>10</x:v>
      </x:c>
      <x:c r="H30" s="22" t="str">
        <x:v>DigiKey / Mouser</x:v>
      </x:c>
      <x:c r="I30" s="3"/>
      <x:c r="J30" s="3" t="str">
        <x:v>Full quantities and ratings are in shopping guide and Rev D BOM. Buy small spare quantities.</x:v>
      </x:c>
      <x:c r="K30" s="15" t="str">
        <x:v>https://www.digikey.com/</x:v>
      </x:c>
    </x:row>
    <x:row r="31" ht="58" customHeight="1">
      <x:c r="A31" s="3" t="str">
        <x:v>Assembly</x:v>
      </x:c>
      <x:c r="B31" s="3" t="str">
        <x:v>FR4 perfboard, Nano headers and sockets</x:v>
      </x:c>
      <x:c r="C31" s="21" t="n">
        <x:v>1</x:v>
      </x:c>
      <x:c r="D31" s="3" t="str">
        <x:v>set</x:v>
      </x:c>
      <x:c r="E31" s="12" t="n">
        <x:v>8</x:v>
      </x:c>
      <x:c r="F31" s="3" t="str">
        <x:v>Allowance</x:v>
      </x:c>
      <x:c r="G31" s="9" t="n">
        <x:f>C31*E31</x:f>
        <x:v>8</x:v>
      </x:c>
      <x:c r="H31" s="3" t="str">
        <x:v>Amazon</x:v>
      </x:c>
      <x:c r="I31" s="3"/>
      <x:c r="J31" s="3" t="str">
        <x:v>Soldered carrier with secure mounting; ordinary loose Dupont jumpers are for bench use only.</x:v>
      </x:c>
      <x:c r="K31" s="15" t="str">
        <x:v>https://www.amazon.com/s?k=FR4+perfboard+2.54mm+headers+female+socket</x:v>
      </x:c>
    </x:row>
    <x:row r="32" ht="58" customHeight="1">
      <x:c r="A32" s="22" t="str">
        <x:v>Assembly</x:v>
      </x:c>
      <x:c r="B32" s="22" t="str">
        <x:v>12 V, 5 V and ground distribution terminals</x:v>
      </x:c>
      <x:c r="C32" s="21" t="n">
        <x:v>1</x:v>
      </x:c>
      <x:c r="D32" s="22" t="str">
        <x:v>set</x:v>
      </x:c>
      <x:c r="E32" s="12" t="n">
        <x:v>10</x:v>
      </x:c>
      <x:c r="F32" s="22" t="str">
        <x:v>Allowance</x:v>
      </x:c>
      <x:c r="G32" s="23" t="n">
        <x:f>C32*E32</x:f>
        <x:v>10</x:v>
      </x:c>
      <x:c r="H32" s="22" t="str">
        <x:v>Amazon</x:v>
      </x:c>
      <x:c r="I32" s="3"/>
      <x:c r="J32" s="3" t="str">
        <x:v>Three separate labeled buses. Quantity depends on harness layout; size to verified fuse and loads.</x:v>
      </x:c>
      <x:c r="K32" s="15" t="str">
        <x:v>https://www.amazon.com/s?k=covered+barrier+terminal+block+bus+bar</x:v>
      </x:c>
    </x:row>
    <x:row r="33" ht="58" customHeight="1">
      <x:c r="A33" s="3" t="str">
        <x:v>Assembly</x:v>
      </x:c>
      <x:c r="B33" s="3" t="str">
        <x:v>Stranded copper internal hookup wire</x:v>
      </x:c>
      <x:c r="C33" s="21" t="n">
        <x:v>1</x:v>
      </x:c>
      <x:c r="D33" s="3" t="str">
        <x:v>assortment</x:v>
      </x:c>
      <x:c r="E33" s="12" t="n">
        <x:v>10</x:v>
      </x:c>
      <x:c r="F33" s="3" t="str">
        <x:v>Allowance</x:v>
      </x:c>
      <x:c r="G33" s="9" t="n">
        <x:f>C33*E33</x:f>
        <x:v>10</x:v>
      </x:c>
      <x:c r="H33" s="3" t="str">
        <x:v>Amazon</x:v>
      </x:c>
      <x:c r="I33" s="3"/>
      <x:c r="J33" s="3" t="str">
        <x:v>22 AWG signal wire planning only; load/feed gauges subject to H2. Avoid copper-clad aluminum.</x:v>
      </x:c>
      <x:c r="K33" s="15" t="str">
        <x:v>https://www.amazon.com/s?k=stranded+copper+hookup+wire+22+awg+kit</x:v>
      </x:c>
    </x:row>
    <x:row r="34" ht="58" customHeight="1">
      <x:c r="A34" s="22" t="str">
        <x:v>Assembly</x:v>
      </x:c>
      <x:c r="B34" s="22" t="str">
        <x:v>Jacketed outdoor harness cable</x:v>
      </x:c>
      <x:c r="C34" s="21" t="n">
        <x:v>1</x:v>
      </x:c>
      <x:c r="D34" s="22" t="str">
        <x:v>length allowance</x:v>
      </x:c>
      <x:c r="E34" s="12" t="n">
        <x:v>20</x:v>
      </x:c>
      <x:c r="F34" s="22" t="str">
        <x:v>Allowance</x:v>
      </x:c>
      <x:c r="G34" s="23" t="n">
        <x:f>C34*E34</x:f>
        <x:v>20</x:v>
      </x:c>
      <x:c r="H34" s="22" t="str">
        <x:v>Amazon / local</x:v>
      </x:c>
      <x:c r="I34" s="3"/>
      <x:c r="J34" s="3" t="str">
        <x:v>Measure runs first. Lamp loom needs twenty color conductors plus suitably sized common return(s).</x:v>
      </x:c>
      <x:c r="K34" s="15" t="str">
        <x:v>https://www.amazon.com/s?k=outdoor+multiconductor+copper+control+cable</x:v>
      </x:c>
    </x:row>
    <x:row r="35" ht="58" customHeight="1">
      <x:c r="A35" s="3" t="str">
        <x:v>Assembly</x:v>
      </x:c>
      <x:c r="B35" s="3" t="str">
        <x:v>Locking sealed cable connectors</x:v>
      </x:c>
      <x:c r="C35" s="21" t="n">
        <x:v>1</x:v>
      </x:c>
      <x:c r="D35" s="3" t="str">
        <x:v>set</x:v>
      </x:c>
      <x:c r="E35" s="12" t="n">
        <x:v>12</x:v>
      </x:c>
      <x:c r="F35" s="3" t="str">
        <x:v>Allowance</x:v>
      </x:c>
      <x:c r="G35" s="9" t="n">
        <x:f>C35*E35</x:f>
        <x:v>12</x:v>
      </x:c>
      <x:c r="H35" s="3" t="str">
        <x:v>Amazon / distributor</x:v>
      </x:c>
      <x:c r="I35" s="3"/>
      <x:c r="J35" s="3" t="str">
        <x:v>Use genuine rated parts with matching wire seals. Reused 14-pin machine connector excluded.</x:v>
      </x:c>
      <x:c r="K35" s="15" t="str">
        <x:v>https://www.amazon.com/s?k=Deutsch+DT+sealed+connector+kit</x:v>
      </x:c>
    </x:row>
    <x:row r="36" ht="58" customHeight="1">
      <x:c r="A36" s="22" t="str">
        <x:v>Assembly</x:v>
      </x:c>
      <x:c r="B36" s="22" t="str">
        <x:v>Heat shrink, ferrules, loom and labels</x:v>
      </x:c>
      <x:c r="C36" s="21" t="n">
        <x:v>1</x:v>
      </x:c>
      <x:c r="D36" s="22" t="str">
        <x:v>small lot</x:v>
      </x:c>
      <x:c r="E36" s="12" t="n">
        <x:v>8</x:v>
      </x:c>
      <x:c r="F36" s="22" t="str">
        <x:v>Allowance</x:v>
      </x:c>
      <x:c r="G36" s="23" t="n">
        <x:f>C36*E36</x:f>
        <x:v>8</x:v>
      </x:c>
      <x:c r="H36" s="22" t="str">
        <x:v>Amazon</x:v>
      </x:c>
      <x:c r="I36" s="3"/>
      <x:c r="J36" s="3" t="str">
        <x:v>Adhesive-lined shrink at splices; secure cable strain relief. Reduce if already owned.</x:v>
      </x:c>
      <x:c r="K36" s="15" t="str">
        <x:v>https://www.amazon.com/s?k=adhesive+lined+heat+shrink+ferrules+wire+labels</x:v>
      </x:c>
    </x:row>
    <x:row r="37" ht="58" customHeight="1">
      <x:c r="A37" s="3" t="str">
        <x:v>Assembly</x:v>
      </x:c>
      <x:c r="B37" s="3" t="str">
        <x:v>Standoffs, fasteners and mounting brackets</x:v>
      </x:c>
      <x:c r="C37" s="21" t="n">
        <x:v>1</x:v>
      </x:c>
      <x:c r="D37" s="3" t="str">
        <x:v>small lot</x:v>
      </x:c>
      <x:c r="E37" s="12" t="n">
        <x:v>7</x:v>
      </x:c>
      <x:c r="F37" s="3" t="str">
        <x:v>Allowance</x:v>
      </x:c>
      <x:c r="G37" s="9" t="n">
        <x:f>C37*E37</x:f>
        <x:v>7</x:v>
      </x:c>
      <x:c r="H37" s="3" t="str">
        <x:v>Amazon / local</x:v>
      </x:c>
      <x:c r="I37" s="3"/>
      <x:c r="J37" s="3" t="str">
        <x:v>Insulated board clearance above steel plate; mounting should not puncture the sealing cavity.</x:v>
      </x:c>
      <x:c r="K37" s="15" t="str">
        <x:v>https://www.amazon.com/s?k=nylon+pcb+standoff+M3+kit</x:v>
      </x:c>
    </x:row>
    <x:row r="38" ht="58" customHeight="1">
      <x:c r="A38" s="22" t="str">
        <x:v>Enclosure</x:v>
      </x:c>
      <x:c r="B38" s="22" t="str">
        <x:v>Hammond 1554VA2GY opaque polycarbonate</x:v>
      </x:c>
      <x:c r="C38" s="21" t="n">
        <x:v>1</x:v>
      </x:c>
      <x:c r="D38" s="22" t="str">
        <x:v>box</x:v>
      </x:c>
      <x:c r="E38" s="12" t="n">
        <x:v>43.5</x:v>
      </x:c>
      <x:c r="F38" s="22" t="str">
        <x:v>Published</x:v>
      </x:c>
      <x:c r="G38" s="23" t="n">
        <x:f>C38*E38</x:f>
        <x:v>43.5</x:v>
      </x:c>
      <x:c r="H38" s="22" t="str">
        <x:v>AutomationDirect</x:v>
      </x:c>
      <x:c r="I38" s="3"/>
      <x:c r="J38" s="3" t="str">
        <x:v>Nominal 240 x 160 x 90 mm. Preferred planning size; confirm physical layout before drilling.</x:v>
      </x:c>
      <x:c r="K38" s="15" t="str">
        <x:v>https://www.automationdirect.com/adc/shopping/catalog/enclosures_-a-_racks/miniature_cases/1554va2gy</x:v>
      </x:c>
    </x:row>
    <x:row r="39" ht="58" customHeight="1">
      <x:c r="A39" s="3" t="str">
        <x:v>Enclosure</x:v>
      </x:c>
      <x:c r="B39" s="3" t="str">
        <x:v>Hammond 1554VAPL mounting plate</x:v>
      </x:c>
      <x:c r="C39" s="21" t="n">
        <x:v>1</x:v>
      </x:c>
      <x:c r="D39" s="3" t="str">
        <x:v>plate</x:v>
      </x:c>
      <x:c r="E39" s="12" t="n">
        <x:v>9.25</x:v>
      </x:c>
      <x:c r="F39" s="3" t="str">
        <x:v>Published</x:v>
      </x:c>
      <x:c r="G39" s="9" t="n">
        <x:f>C39*E39</x:f>
        <x:v>9.25</x:v>
      </x:c>
      <x:c r="H39" s="3" t="str">
        <x:v>AutomationDirect</x:v>
      </x:c>
      <x:c r="I39" s="3"/>
      <x:c r="J39" s="3" t="str">
        <x:v>Box plus plate clears advertised $49 free-shipping threshold; checkout confirmation still required.</x:v>
      </x:c>
      <x:c r="K39" s="15" t="str">
        <x:v>https://www.automationdirect.com/adc/shopping/catalog/enclosures_-a-_racks/subpanels/1554vapl</x:v>
      </x:c>
    </x:row>
    <x:row r="40" ht="58" customHeight="1">
      <x:c r="A40" s="22" t="str">
        <x:v>Enclosure</x:v>
      </x:c>
      <x:c r="B40" s="22" t="str">
        <x:v>Bimed BM-ENX-2S-W cable glands</x:v>
      </x:c>
      <x:c r="C40" s="21" t="n">
        <x:v>1</x:v>
      </x:c>
      <x:c r="D40" s="22" t="str">
        <x:v>5-pack</x:v>
      </x:c>
      <x:c r="E40" s="12" t="n">
        <x:v>3.25</x:v>
      </x:c>
      <x:c r="F40" s="22" t="str">
        <x:v>Published</x:v>
      </x:c>
      <x:c r="G40" s="23" t="n">
        <x:f>C40*E40</x:f>
        <x:v>3.25</x:v>
      </x:c>
      <x:c r="H40" s="22" t="str">
        <x:v>AutomationDirect</x:v>
      </x:c>
      <x:c r="I40" s="3"/>
      <x:c r="J40" s="3" t="str">
        <x:v>M12 x 1.5; jacket OD 3–6.5 mm. Use only where cable diameter fits; mounting hardware included.</x:v>
      </x:c>
      <x:c r="K40" s="15" t="str">
        <x:v>https://www.automationdirect.com/adc/shopping/catalog/wire_-a-_cable_management/cable_glands/metric_thread/bm-enx-2s-w</x:v>
      </x:c>
    </x:row>
    <x:row r="41" ht="58" customHeight="1">
      <x:c r="A41" s="3" t="str">
        <x:v>Enclosure</x:v>
      </x:c>
      <x:c r="B41" s="3" t="str">
        <x:v>Larger glands, sealing plugs and seals</x:v>
      </x:c>
      <x:c r="C41" s="21" t="n">
        <x:v>1</x:v>
      </x:c>
      <x:c r="D41" s="3" t="str">
        <x:v>allowance</x:v>
      </x:c>
      <x:c r="E41" s="12" t="n">
        <x:v>8</x:v>
      </x:c>
      <x:c r="F41" s="3" t="str">
        <x:v>Allowance</x:v>
      </x:c>
      <x:c r="G41" s="9" t="n">
        <x:f>C41*E41</x:f>
        <x:v>8</x:v>
      </x:c>
      <x:c r="H41" s="3" t="str">
        <x:v>AutomationDirect</x:v>
      </x:c>
      <x:c r="I41" s="3"/>
      <x:c r="J41" s="3" t="str">
        <x:v>Machine/display cable may need larger glands or matched multi-hole inserts; measure first.</x:v>
      </x:c>
      <x:c r="K41" s="15" t="str">
        <x:v>https://www.automationdirect.com/adc/overview/catalog/wire_-a-_cable_management/cable_glands</x:v>
      </x:c>
    </x:row>
    <x:row r="42" ht="58" customHeight="1">
      <x:c r="A42" s="22" t="str">
        <x:v>Enclosure</x:v>
      </x:c>
      <x:c r="B42" s="22" t="str">
        <x:v>Ten-lamp rail / rear wiring cover</x:v>
      </x:c>
      <x:c r="C42" s="21" t="n">
        <x:v>1</x:v>
      </x:c>
      <x:c r="D42" s="22" t="str">
        <x:v>assembly allowance</x:v>
      </x:c>
      <x:c r="E42" s="12" t="n">
        <x:v>15</x:v>
      </x:c>
      <x:c r="F42" s="22" t="str">
        <x:v>Allowance</x:v>
      </x:c>
      <x:c r="G42" s="23" t="n">
        <x:f>C42*E42</x:f>
        <x:v>15</x:v>
      </x:c>
      <x:c r="H42" s="22" t="str">
        <x:v>Local / Amazon</x:v>
      </x:c>
      <x:c r="I42" s="3"/>
      <x:c r="J42" s="3" t="str">
        <x:v>Plan approximately 300 mm long; verify actual grommet diameter/pitch. No rated finished housing selected.</x:v>
      </x:c>
      <x:c r="K42" s="15" t="str">
        <x:v>https://www.amazon.com/s?k=aluminum+u+channel+12+inch</x:v>
      </x:c>
    </x:row>
    <x:row r="43" ht="58" customHeight="1">
      <x:c r="A43" s="3" t="str">
        <x:v>Enclosure</x:v>
      </x:c>
      <x:c r="B43" s="3" t="str">
        <x:v>Meter electronics protection</x:v>
      </x:c>
      <x:c r="C43" s="21" t="n">
        <x:v>1</x:v>
      </x:c>
      <x:c r="D43" s="3" t="str">
        <x:v>assembly allowance</x:v>
      </x:c>
      <x:c r="E43" s="12" t="n">
        <x:v>15</x:v>
      </x:c>
      <x:c r="F43" s="3" t="str">
        <x:v>Allowance</x:v>
      </x:c>
      <x:c r="G43" s="9" t="n">
        <x:f>C43*E43</x:f>
        <x:v>15</x:v>
      </x:c>
      <x:c r="H43" s="3" t="str">
        <x:v>Local / distributor</x:v>
      </x:c>
      <x:c r="I43" s="3"/>
      <x:c r="J43" s="3" t="str">
        <x:v>Dedicated splash/impact protection, supported plumbing and sealed terminations; exact housing pending geometry.</x:v>
      </x:c>
      <x:c r="K43" s="15" t="str">
        <x:v>https://www.polycase.com/wp-series</x:v>
      </x:c>
    </x:row>
    <x:row r="44" ht="58" customHeight="1">
      <x:c r="A44" s="22" t="str">
        <x:v>Water</x:v>
      </x:c>
      <x:c r="B44" s="22" t="str">
        <x:v>Manual shutoff and cleanable inlet strainer</x:v>
      </x:c>
      <x:c r="C44" s="21" t="n">
        <x:v>1</x:v>
      </x:c>
      <x:c r="D44" s="22" t="str">
        <x:v>set allowance</x:v>
      </x:c>
      <x:c r="E44" s="12" t="n">
        <x:v>20</x:v>
      </x:c>
      <x:c r="F44" s="22" t="str">
        <x:v>Allowance</x:v>
      </x:c>
      <x:c r="G44" s="23" t="n">
        <x:f>C44*E44</x:f>
        <x:v>20</x:v>
      </x:c>
      <x:c r="H44" s="22" t="str">
        <x:v>Amazon / local</x:v>
      </x:c>
      <x:c r="I44" s="3"/>
      <x:c r="J44" s="3" t="str">
        <x:v>Reuse existing suitable items; select pressure rating and mesh for nozzle/meter requirements.</x:v>
      </x:c>
      <x:c r="K44" s="15" t="str">
        <x:v>https://www.amazon.com/s?k=garden+hose+shut+off+valve+inline+filter+brass</x:v>
      </x:c>
    </x:row>
    <x:row r="45" ht="58" customHeight="1">
      <x:c r="A45" s="3" t="str">
        <x:v>Water</x:v>
      </x:c>
      <x:c r="B45" s="3" t="str">
        <x:v>Correct NPS meter adapters and seals</x:v>
      </x:c>
      <x:c r="C45" s="21" t="n">
        <x:v>1</x:v>
      </x:c>
      <x:c r="D45" s="3" t="str">
        <x:v>pair allowance</x:v>
      </x:c>
      <x:c r="E45" s="12" t="n">
        <x:v>20</x:v>
      </x:c>
      <x:c r="F45" s="3" t="str">
        <x:v>Allowance</x:v>
      </x:c>
      <x:c r="G45" s="9" t="n">
        <x:f>C45*E45</x:f>
        <x:v>20</x:v>
      </x:c>
      <x:c r="H45" s="3" t="str">
        <x:v>Plumbing supplier</x:v>
      </x:c>
      <x:c r="I45" s="3"/>
      <x:c r="J45" s="3" t="str">
        <x:v>PROCUREMENT HOLD: straight NPS thread and actual seal geometry must match; NPT or cone-seat swivel is not assumed compatible.</x:v>
      </x:c>
      <x:c r="K45" s="15" t="str">
        <x:v>https://www.sciosense.com/ufm-02-ultrasonic-flow-sensing-module/</x:v>
      </x:c>
    </x:row>
    <x:row r="46" ht="58" customHeight="1">
      <x:c r="A46" s="22" t="str">
        <x:v>Water</x:v>
      </x:c>
      <x:c r="B46" s="22" t="str">
        <x:v>Garden-hose to valve NPT fittings</x:v>
      </x:c>
      <x:c r="C46" s="21" t="n">
        <x:v>1</x:v>
      </x:c>
      <x:c r="D46" s="22" t="str">
        <x:v>set allowance</x:v>
      </x:c>
      <x:c r="E46" s="12" t="n">
        <x:v>15</x:v>
      </x:c>
      <x:c r="F46" s="22" t="str">
        <x:v>Allowance</x:v>
      </x:c>
      <x:c r="G46" s="23" t="n">
        <x:f>C46*E46</x:f>
        <x:v>15</x:v>
      </x:c>
      <x:c r="H46" s="22" t="str">
        <x:v>Amazon / local</x:v>
      </x:c>
      <x:c r="I46" s="3"/>
      <x:c r="J46" s="3" t="str">
        <x:v>US garden hose thread is 3/4 GHT, distinct from 1/2 NPT valve threads. Include removable unions as required.</x:v>
      </x:c>
      <x:c r="K46" s="15" t="str">
        <x:v>https://www.amazon.com/s?k=3%2F4+GHT+to+1%2F2+NPT+brass+adapter</x:v>
      </x:c>
    </x:row>
    <x:row r="47" ht="58" customHeight="1">
      <x:c r="A47" s="3" t="str">
        <x:v>Water</x:v>
      </x:c>
      <x:c r="B47" s="3" t="str">
        <x:v>Straight pipe, washers, supports and sealant</x:v>
      </x:c>
      <x:c r="C47" s="21" t="n">
        <x:v>1</x:v>
      </x:c>
      <x:c r="D47" s="3" t="str">
        <x:v>small lot</x:v>
      </x:c>
      <x:c r="E47" s="12" t="n">
        <x:v>8</x:v>
      </x:c>
      <x:c r="F47" s="3" t="str">
        <x:v>Allowance</x:v>
      </x:c>
      <x:c r="G47" s="9" t="n">
        <x:f>C47*E47</x:f>
        <x:v>8</x:v>
      </x:c>
      <x:c r="H47" s="3" t="str">
        <x:v>Local</x:v>
      </x:c>
      <x:c r="I47" s="3"/>
      <x:c r="J47" s="3" t="str">
        <x:v>Respect meter straight lengths and seal type. Do not seal NPS solely with PTFE tape.</x:v>
      </x:c>
      <x:c r="K47" s="15" t="str">
        <x:v>https://www.sciosense.com/ufm-02-ultrasonic-flow-sensing-module/</x:v>
      </x:c>
    </x:row>
    <x:row r="48" ht="58" customHeight="1">
      <x:c r="A48" s="22" t="str">
        <x:v>Enclosure</x:v>
      </x:c>
      <x:c r="B48" s="22" t="str">
        <x:v>MG Chemicals 422C coating, small bottle</x:v>
      </x:c>
      <x:c r="C48" s="21" t="n">
        <x:v>1</x:v>
      </x:c>
      <x:c r="D48" s="22" t="str">
        <x:v>bottle allowance</x:v>
      </x:c>
      <x:c r="E48" s="12" t="n">
        <x:v>20</x:v>
      </x:c>
      <x:c r="F48" s="22" t="str">
        <x:v>Allowance</x:v>
      </x:c>
      <x:c r="G48" s="23" t="n">
        <x:f>C48*E48</x:f>
        <x:v>20</x:v>
      </x:c>
      <x:c r="H48" s="22" t="str">
        <x:v>Amazon / distributor</x:v>
      </x:c>
      <x:c r="I48" s="3"/>
      <x:c r="J48" s="3" t="str">
        <x:v>Later, after testing; mask contacts, connectors and vents. Not a substitute for the gasketed box.</x:v>
      </x:c>
      <x:c r="K48" s="15" t="str">
        <x:v>https://www.amazon.com/s?k=MG+Chemicals+422C+55ml</x:v>
      </x:c>
    </x:row>
    <x:row r="49" ht="58" customHeight="1">
      <x:c r="A49" s="3" t="str">
        <x:v>Bench</x:v>
      </x:c>
      <x:c r="B49" s="3" t="str">
        <x:v>Temporary fused battery lead and small fuses</x:v>
      </x:c>
      <x:c r="C49" s="21" t="n">
        <x:v>1</x:v>
      </x:c>
      <x:c r="D49" s="3" t="str">
        <x:v>set allowance</x:v>
      </x:c>
      <x:c r="E49" s="12" t="n">
        <x:v>10</x:v>
      </x:c>
      <x:c r="F49" s="3" t="str">
        <x:v>Allowance</x:v>
      </x:c>
      <x:c r="G49" s="9" t="n">
        <x:f>C49*E49</x:f>
        <x:v>10</x:v>
      </x:c>
      <x:c r="H49" s="3" t="str">
        <x:v>Amazon / local</x:v>
      </x:c>
      <x:c r="I49" s="3"/>
      <x:c r="J49" s="3" t="str">
        <x:v>Bench only, close to battery; size fuse to test stage and weakest wire. Not a new machine fuse block.</x:v>
      </x:c>
      <x:c r="K49" s="15" t="str">
        <x:v>https://www.amazon.com/s?k=inline+ATO+fuse+holder+1A+2A+fuse</x:v>
      </x:c>
    </x:row>
    <x:row r="50" ht="58" customHeight="1">
      <x:c r="A50" s="22" t="str">
        <x:v>Bench</x:v>
      </x:c>
      <x:c r="B50" s="22" t="str">
        <x:v>250-ohm 0.1% 0.5 W removable test resistor</x:v>
      </x:c>
      <x:c r="C50" s="21" t="n">
        <x:v>1</x:v>
      </x:c>
      <x:c r="D50" s="22" t="str">
        <x:v>resistor allowance</x:v>
      </x:c>
      <x:c r="E50" s="12" t="n">
        <x:v>2</x:v>
      </x:c>
      <x:c r="F50" s="22" t="str">
        <x:v>Allowance</x:v>
      </x:c>
      <x:c r="G50" s="23" t="n">
        <x:f>C50*E50</x:f>
        <x:v>2</x:v>
      </x:c>
      <x:c r="H50" s="22" t="str">
        <x:v>DigiKey / Mouser</x:v>
      </x:c>
      <x:c r="I50" s="3"/>
      <x:c r="J50" s="3" t="str">
        <x:v>DAC test load only. Expected 1/3/5 V at 4/12/20 mA; remove before valve wiring.</x:v>
      </x:c>
      <x:c r="K50" s="15" t="str">
        <x:v>https://www.digikey.com/en/products?keywords=250%20ohm%200.1%25%200.5W%20resistor</x:v>
      </x:c>
    </x:row>
    <x:row r="51" ht="58" customHeight="1">
      <x:c r="A51" s="3" t="str">
        <x:v>Bench</x:v>
      </x:c>
      <x:c r="B51" s="3" t="str">
        <x:v>Micro-USB data cable</x:v>
      </x:c>
      <x:c r="C51" s="21" t="n">
        <x:v>1</x:v>
      </x:c>
      <x:c r="D51" s="3" t="str">
        <x:v>cable allowance</x:v>
      </x:c>
      <x:c r="E51" s="12" t="n">
        <x:v>5</x:v>
      </x:c>
      <x:c r="F51" s="3" t="str">
        <x:v>Allowance</x:v>
      </x:c>
      <x:c r="G51" s="9" t="n">
        <x:f>C51*E51</x:f>
        <x:v>5</x:v>
      </x:c>
      <x:c r="H51" s="3" t="str">
        <x:v>Amazon / existing</x:v>
      </x:c>
      <x:c r="I51" s="3"/>
      <x:c r="J51" s="3" t="str">
        <x:v>Set quantity to zero if owned. Must carry data, not charging-only.</x:v>
      </x:c>
      <x:c r="K51" s="15" t="str">
        <x:v>https://www.amazon.com/s?k=micro+usb+data+cable</x:v>
      </x:c>
    </x:row>
    <x:row r="52" ht="58" customHeight="1">
      <x:c r="A52" s="3"/>
      <x:c r="B52" s="3"/>
      <x:c r="C52" s="21"/>
      <x:c r="D52" s="3"/>
      <x:c r="E52" s="12"/>
      <x:c r="F52" s="3"/>
      <x:c r="G52" s="9"/>
      <x:c r="H52" s="3"/>
      <x:c r="I52" s="3"/>
      <x:c r="J52" s="3"/>
      <x:c r="K52" s="15"/>
    </x:row>
    <x:row r="53" ht="26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ht="26" customHeight="1">
      <x:c r="A54" s="3" t="str">
        <x:v>Shipping is added once per supplier basket below. All rates are assumptions except the conditional free-shipping offer.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ht="26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</x:row>
    <x:row r="56" ht="30" customHeight="1">
      <x:c r="A56" s="3"/>
      <x:c r="B56" s="18" t="str">
        <x:v>Supplier basket</x:v>
      </x:c>
      <x:c r="C56" s="3"/>
      <x:c r="D56" s="3"/>
      <x:c r="E56" s="18" t="str">
        <x:v>Budget USD</x:v>
      </x:c>
      <x:c r="F56" s="3"/>
      <x:c r="G56" s="3"/>
      <x:c r="H56" s="3"/>
      <x:c r="I56" s="3"/>
      <x:c r="J56" s="3"/>
      <x:c r="K56" s="3"/>
    </x:row>
    <x:row r="57" ht="58" customHeight="1">
      <x:c r="A57" s="3"/>
      <x:c r="B57" s="3" t="str">
        <x:v>U.S. Solid</x:v>
      </x:c>
      <x:c r="C57" s="3"/>
      <x:c r="D57" s="3"/>
      <x:c r="E57" s="12" t="n">
        <x:v>10</x:v>
      </x:c>
      <x:c r="F57" s="3"/>
      <x:c r="G57" s="3"/>
      <x:c r="H57" s="3"/>
      <x:c r="I57" s="3"/>
      <x:c r="J57" s="3" t="str">
        <x:v>Allowance; weight-based checkout quote unavailable</x:v>
      </x:c>
      <x:c r="K57" s="15" t="str">
        <x:v>https://ussolid.com/policies/shipping-policy</x:v>
      </x:c>
    </x:row>
    <x:row r="58" ht="58" customHeight="1">
      <x:c r="A58" s="3"/>
      <x:c r="B58" s="3" t="str">
        <x:v>SparkFun</x:v>
      </x:c>
      <x:c r="C58" s="3"/>
      <x:c r="D58" s="3"/>
      <x:c r="E58" s="12" t="n">
        <x:v>8</x:v>
      </x:c>
      <x:c r="F58" s="3"/>
      <x:c r="G58" s="3"/>
      <x:c r="H58" s="3"/>
      <x:c r="I58" s="3"/>
      <x:c r="J58" s="3" t="str">
        <x:v>Allowance; combine Nano and both opto boards</x:v>
      </x:c>
      <x:c r="K58" s="15" t="str">
        <x:v>https://www.sparkfun.com/</x:v>
      </x:c>
    </x:row>
    <x:row r="59" ht="58" customHeight="1">
      <x:c r="A59" s="3"/>
      <x:c r="B59" s="3" t="str">
        <x:v>DFRobot</x:v>
      </x:c>
      <x:c r="C59" s="3"/>
      <x:c r="D59" s="3"/>
      <x:c r="E59" s="12" t="n">
        <x:v>8</x:v>
      </x:c>
      <x:c r="F59" s="3"/>
      <x:c r="G59" s="3"/>
      <x:c r="H59" s="3"/>
      <x:c r="I59" s="3"/>
      <x:c r="J59" s="3" t="str">
        <x:v>Allowance; combine both modules; shipping resumes Oct 8</x:v>
      </x:c>
      <x:c r="K59" s="15" t="str">
        <x:v>https://www.dfrobot.com/product-3073.html</x:v>
      </x:c>
    </x:row>
    <x:row r="60" ht="58" customHeight="1">
      <x:c r="A60" s="3"/>
      <x:c r="B60" s="3" t="str">
        <x:v>DigiKey / possible Mouser split</x:v>
      </x:c>
      <x:c r="C60" s="3"/>
      <x:c r="D60" s="3"/>
      <x:c r="E60" s="12" t="n">
        <x:v>10</x:v>
      </x:c>
      <x:c r="F60" s="3"/>
      <x:c r="G60" s="3"/>
      <x:c r="H60" s="3"/>
      <x:c r="I60" s="3"/>
      <x:c r="J60" s="3" t="str">
        <x:v>Allowance; DigiKey advertises rates from $4.99, not a basket quote</x:v>
      </x:c>
      <x:c r="K60" s="15" t="str">
        <x:v>https://www.digikey.com/en/products/detail/panasonic-industry/TQ2-5V/251773</x:v>
      </x:c>
    </x:row>
    <x:row r="61" ht="58" customHeight="1">
      <x:c r="A61" s="3"/>
      <x:c r="B61" s="3" t="str">
        <x:v>AutomationDirect</x:v>
      </x:c>
      <x:c r="C61" s="3"/>
      <x:c r="D61" s="3"/>
      <x:c r="E61" s="12" t="n">
        <x:v>0</x:v>
      </x:c>
      <x:c r="F61" s="3"/>
      <x:c r="G61" s="3"/>
      <x:c r="H61" s="3"/>
      <x:c r="I61" s="3"/>
      <x:c r="J61" s="3" t="str">
        <x:v>Advertised free shipping over $49; assumed eligible box/plate/glands basket</x:v>
      </x:c>
      <x:c r="K61" s="15" t="str">
        <x:v>https://www.automationdirect.com/adc/shopping/catalog/enclosures_-a-_racks/miniature_cases/1554va2gy</x:v>
      </x:c>
    </x:row>
    <x:row r="62" ht="58" customHeight="1">
      <x:c r="A62" s="3"/>
      <x:c r="B62" s="3" t="str">
        <x:v>Amazon / local / other</x:v>
      </x:c>
      <x:c r="C62" s="3"/>
      <x:c r="D62" s="3"/>
      <x:c r="E62" s="12" t="n">
        <x:v>10</x:v>
      </x:c>
      <x:c r="F62" s="3"/>
      <x:c r="G62" s="3"/>
      <x:c r="H62" s="3"/>
      <x:c r="I62" s="3"/>
      <x:c r="J62" s="3" t="str">
        <x:v>Allowance; Prime and seller shipping are not verified</x:v>
      </x:c>
      <x:c r="K62" s="15" t="str">
        <x:v>https://www.amazon.com/</x:v>
      </x:c>
    </x:row>
    <x:row r="63" ht="26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 ht="26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 ht="26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 ht="26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 ht="26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</x:sheetData>
  <x:conditionalFormatting sqref="F20:F52">
    <x:cfRule type="containsText" dxfId="0" priority="1" operator="containsText" text="Allowance"/>
  </x:conditionalFormatting>
  <x:dataValidations count="2">
    <x:dataValidation type="decimal" operator="greaterThanOrEqual" sqref="C20:C52">
      <x:formula1>0</x:formula1>
    </x:dataValidation>
    <x:dataValidation type="decimal" operator="greaterThanOrEqual" sqref="E20:E52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8494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.329999923706055" hidden="0" customWidth="1"/>
    <x:col min="2" max="2" width="37.779998779296875" hidden="0" customWidth="1"/>
    <x:col min="3" max="3" width="7.110000133514404" hidden="0" customWidth="1"/>
    <x:col min="4" max="4" width="15.5600004196167" hidden="0" customWidth="1"/>
    <x:col min="5" max="5" width="11.109999656677246" hidden="0" customWidth="1"/>
    <x:col min="6" max="6" width="40.560001373291016" hidden="0" customWidth="1"/>
    <x:col min="7" max="7" width="12.4399995803833" hidden="0" customWidth="1"/>
    <x:col min="8" max="8" width="18.889999389648438" hidden="0" customWidth="1"/>
    <x:col min="9" max="9" width="2.6700000762939453" hidden="0" customWidth="1"/>
    <x:col min="10" max="10" width="105.55999755859375" hidden="0" customWidth="1"/>
    <x:col min="11" max="11" width="65.55999755859375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4" t="str">
        <x:v>Options · not included in Shopping total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5"/>
      <x:c r="B3" s="5"/>
      <x:c r="C3" s="5"/>
      <x:c r="D3" s="5"/>
      <x:c r="E3" s="5"/>
      <x:c r="F3" s="5"/>
      <x:c r="G3" s="5"/>
      <x:c r="H3" s="5"/>
      <x:c r="I3" s="3"/>
      <x:c r="J3" s="3"/>
      <x:c r="K3" s="3"/>
    </x:row>
    <x:row r="4" ht="26" customHeight="1">
      <x:c r="A4" s="3" t="str">
        <x:v>Compare before buying. An alternative is not automatically a wiring-compatible substitute.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0" customHeight="1">
      <x:c r="A6" s="18" t="str">
        <x:v>Type</x:v>
      </x:c>
      <x:c r="B6" s="18" t="str">
        <x:v>Option</x:v>
      </x:c>
      <x:c r="C6" s="3"/>
      <x:c r="D6" s="3"/>
      <x:c r="E6" s="18" t="str">
        <x:v>USD</x:v>
      </x:c>
      <x:c r="F6" s="18" t="str">
        <x:v>Basis</x:v>
      </x:c>
      <x:c r="G6" s="3"/>
      <x:c r="H6" s="3"/>
      <x:c r="I6" s="3"/>
      <x:c r="J6" s="3" t="str">
        <x:v>Preference / limits</x:v>
      </x:c>
      <x:c r="K6" s="3" t="str">
        <x:v>Source</x:v>
      </x:c>
    </x:row>
    <x:row r="7" ht="58" customHeight="1">
      <x:c r="A7" s="3" t="str">
        <x:v>Enclosure</x:v>
      </x:c>
      <x:c r="B7" s="3" t="str">
        <x:v>Smaller Hammond 1554U2GY</x:v>
      </x:c>
      <x:c r="C7" s="3"/>
      <x:c r="D7" s="3"/>
      <x:c r="E7" s="9" t="n">
        <x:v>30.5</x:v>
      </x:c>
      <x:c r="F7" s="3" t="str">
        <x:v>Published; box only</x:v>
      </x:c>
      <x:c r="G7" s="3"/>
      <x:c r="H7" s="3"/>
      <x:c r="I7" s="3"/>
      <x:c r="J7" s="3" t="str">
        <x:v>200 x 120 x 90 mm; consider only after measured two-level layout. Plate extra; smaller is harder to wire/service.</x:v>
      </x:c>
      <x:c r="K7" s="15" t="str">
        <x:v>https://www.automationdirect.com/adc/shopping/catalog/enclosures_-a-_racks/miniature_cases/1554u2gy</x:v>
      </x:c>
    </x:row>
    <x:row r="8" ht="58" customHeight="1">
      <x:c r="A8" s="22" t="str">
        <x:v>Controller</x:v>
      </x:c>
      <x:c r="B8" s="22" t="str">
        <x:v>Nano Every from Arduino USA</x:v>
      </x:c>
      <x:c r="C8" s="22"/>
      <x:c r="D8" s="22"/>
      <x:c r="E8" s="23" t="n">
        <x:v>12.9</x:v>
      </x:c>
      <x:c r="F8" s="22" t="str">
        <x:v>Published; shipping extra below threshold</x:v>
      </x:c>
      <x:c r="G8" s="22"/>
      <x:c r="H8" s="22"/>
      <x:c r="I8" s="3"/>
      <x:c r="J8" s="3" t="str">
        <x:v>Same exact ABX00028; $0.80 cheaper but separate shipping may cost more.</x:v>
      </x:c>
      <x:c r="K8" s="15" t="str">
        <x:v>https://store-usa.arduino.cc/products/nano-every</x:v>
      </x:c>
    </x:row>
    <x:row r="9" ht="58" customHeight="1">
      <x:c r="A9" s="3" t="str">
        <x:v>Bench supply</x:v>
      </x:c>
      <x:c r="B9" s="3" t="str">
        <x:v>FNIRSI DPS-150, without input adapter</x:v>
      </x:c>
      <x:c r="C9" s="3"/>
      <x:c r="D9" s="3"/>
      <x:c r="E9" s="9" t="n">
        <x:v>57.99</x:v>
      </x:c>
      <x:c r="F9" s="3" t="str">
        <x:v>Published; optional</x:v>
      </x:c>
      <x:c r="G9" s="3"/>
      <x:c r="H9" s="3"/>
      <x:c r="I9" s="3"/>
      <x:c r="J9" s="3" t="str">
        <x:v>CC/CV. Advertised DPS154 code subtracts $4 if accepted. Requires suitable higher-voltage DC/USB-C PD input; not an all-in-one AC supply.</x:v>
      </x:c>
      <x:c r="K9" s="15" t="str">
        <x:v>https://www.fnirsi.com/products/dps-150</x:v>
      </x:c>
    </x:row>
    <x:row r="10" ht="58" customHeight="1">
      <x:c r="A10" s="22" t="str">
        <x:v>Bench supply</x:v>
      </x:c>
      <x:c r="B10" s="22" t="str">
        <x:v>Jesverty SPS-3010 AC bench supply</x:v>
      </x:c>
      <x:c r="C10" s="22"/>
      <x:c r="D10" s="22"/>
      <x:c r="E10" s="23" t="n">
        <x:v>60</x:v>
      </x:c>
      <x:c r="F10" s="22" t="str">
        <x:v>Allowance only; Amazon price unverified</x:v>
      </x:c>
      <x:c r="G10" s="22"/>
      <x:c r="H10" s="22"/>
      <x:c r="I10" s="3"/>
      <x:c r="J10" s="3" t="str">
        <x:v>Simpler all-in-one option if 110/120 V US version is near $60. Adjustable CC/CV; 10 A rating is not the current-limit setting.</x:v>
      </x:c>
      <x:c r="K10" s="15" t="str">
        <x:v>https://www.amazon.com/dp/B09YSJQWRG</x:v>
      </x:c>
    </x:row>
    <x:row r="11" ht="58" customHeight="1">
      <x:c r="A11" s="3" t="str">
        <x:v>Lamp drivers</x:v>
      </x:c>
      <x:c r="B11" s="3" t="str">
        <x:v>MIKROE-6074 IPD Click TPD2015</x:v>
      </x:c>
      <x:c r="C11" s="3"/>
      <x:c r="D11" s="3"/>
      <x:c r="E11" s="9" t="n">
        <x:v>29</x:v>
      </x:c>
      <x:c r="F11" s="3" t="str">
        <x:v>Published; manufacturer out of stock</x:v>
      </x:c>
      <x:c r="G11" s="3"/>
      <x:c r="H11" s="3"/>
      <x:c r="I11" s="3"/>
      <x:c r="J11" s="3" t="str">
        <x:v>Eight high-side channels, but not a drop-in: different interface, extra I/O hardware and watchdog/diagnostic redesign. Do not buy as a substitute.</x:v>
      </x:c>
      <x:c r="K11" s="15" t="str">
        <x:v>https://www.mikroe.com/ipd-click-tpd2015</x:v>
      </x:c>
    </x:row>
    <x:row r="12" ht="58" customHeight="1">
      <x:c r="A12" s="22" t="str">
        <x:v>Valve command</x:v>
      </x:c>
      <x:c r="B12" s="22" t="str">
        <x:v>DFRobot DFR0972</x:v>
      </x:c>
      <x:c r="C12" s="22"/>
      <x:c r="D12" s="22"/>
      <x:c r="E12" s="23" t="n">
        <x:v>9.9</x:v>
      </x:c>
      <x:c r="F12" s="22" t="str">
        <x:v>Published comparison price</x:v>
      </x:c>
      <x:c r="G12" s="22"/>
      <x:c r="H12" s="22"/>
      <x:c r="I12" s="3"/>
      <x:c r="J12" s="3" t="str">
        <x:v>Not selected: 18–24 V power requirement adds another converter to this nominal-12 V project.</x:v>
      </x:c>
      <x:c r="K12" s="15" t="str">
        <x:v>https://www.dfrobot.com/product-3073.html</x:v>
      </x:c>
    </x:row>
    <x:row r="13" ht="58" customHeight="1">
      <x:c r="A13" s="3" t="str">
        <x:v>Tools</x:v>
      </x:c>
      <x:c r="B13" s="3" t="str">
        <x:v>Temperature-controlled soldering iron kit</x:v>
      </x:c>
      <x:c r="C13" s="3"/>
      <x:c r="D13" s="3"/>
      <x:c r="E13" s="9" t="n">
        <x:v>35</x:v>
      </x:c>
      <x:c r="F13" s="3" t="str">
        <x:v>Allowance; only if not owned</x:v>
      </x:c>
      <x:c r="G13" s="3"/>
      <x:c r="H13" s="3"/>
      <x:c r="I13" s="3"/>
      <x:c r="J13" s="3" t="str">
        <x:v>Includes suitable tip/stand; buy electronics solder and flux, not plumbing acid flux.</x:v>
      </x:c>
      <x:c r="K13" s="15" t="str">
        <x:v>https://www.amazon.com/s?k=temperature+controlled+soldering+iron+kit</x:v>
      </x:c>
    </x:row>
    <x:row r="14" ht="58" customHeight="1">
      <x:c r="A14" s="22" t="str">
        <x:v>Tools</x:v>
      </x:c>
      <x:c r="B14" s="22" t="str">
        <x:v>Stripper, appropriate crimper and step bit</x:v>
      </x:c>
      <x:c r="C14" s="22"/>
      <x:c r="D14" s="22"/>
      <x:c r="E14" s="23" t="n">
        <x:v>30</x:v>
      </x:c>
      <x:c r="F14" s="22" t="str">
        <x:v>Allowance; only if not owned</x:v>
      </x:c>
      <x:c r="G14" s="22"/>
      <x:c r="H14" s="22"/>
      <x:c r="I14" s="3"/>
      <x:c r="J14" s="3" t="str">
        <x:v>Match crimper to chosen contacts/ferrules. Ordinary pliers do not replace the correct contact crimp tool.</x:v>
      </x:c>
      <x:c r="K14" s="15" t="str">
        <x:v>https://www.amazon.com/s?k=wire+stripper+ferrule+crimper+step+drill+bit</x:v>
      </x:c>
    </x:row>
    <x:row r="15" ht="58" customHeight="1">
      <x:c r="A15" s="3" t="str">
        <x:v>Consumables</x:v>
      </x:c>
      <x:c r="B15" s="3" t="str">
        <x:v>Electronics solder, flux and cleaning supplies</x:v>
      </x:c>
      <x:c r="C15" s="3"/>
      <x:c r="D15" s="3"/>
      <x:c r="E15" s="9" t="n">
        <x:v>15</x:v>
      </x:c>
      <x:c r="F15" s="3" t="str">
        <x:v>Allowance; only if not owned</x:v>
      </x:c>
      <x:c r="G15" s="3"/>
      <x:c r="H15" s="3"/>
      <x:c r="I15" s="3"/>
      <x:c r="J15" s="3" t="str">
        <x:v>Allow complete cleaning/drying before coating. Reuse existing suitable supplies.</x:v>
      </x:c>
      <x:c r="K15" s="15" t="str">
        <x:v>https://www.amazon.com/s?k=electronics+solder+rosin+flux+isopropyl+alcohol</x:v>
      </x:c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</x:sheetData>
  <x:pageMargins left="0.7" right="0.7" top="0.75" bottom="0.75" header="0.3" footer="0.3"/>
</x:worksheet>
</file>